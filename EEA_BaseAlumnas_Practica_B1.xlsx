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Alumnas" sheetId="1" state="visible" r:id="rId3"/>
    <sheet name="Resumen por Esta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<sst xmlns="http://schemas.openxmlformats.org/spreadsheetml/2006/main" count="105" uniqueCount="76">
  <si>
    <t xml:space="preserve">Elite Expert Academy — Base de Alumnas (Datos Ficticios de Práctica)</t>
  </si>
  <si>
    <t xml:space="preserve">Archivo de práctica — Taller de IA Aplicada · Sesión B1 · TEM-EEA-001-2026</t>
  </si>
  <si>
    <t xml:space="preserve">ID</t>
  </si>
  <si>
    <t xml:space="preserve">Nombre Alumna</t>
  </si>
  <si>
    <t xml:space="preserve">País</t>
  </si>
  <si>
    <t xml:space="preserve">Curso</t>
  </si>
  <si>
    <t xml:space="preserve">Fecha de Pago</t>
  </si>
  <si>
    <t xml:space="preserve">Monto (USD)</t>
  </si>
  <si>
    <t xml:space="preserve">Estado de Pago</t>
  </si>
  <si>
    <t xml:space="preserve">Notas</t>
  </si>
  <si>
    <t xml:space="preserve">A001</t>
  </si>
  <si>
    <t xml:space="preserve">Valentina Ríos</t>
  </si>
  <si>
    <t xml:space="preserve">Colombia</t>
  </si>
  <si>
    <t xml:space="preserve">Dermapen Avanzado</t>
  </si>
  <si>
    <t xml:space="preserve">05/06/2026</t>
  </si>
  <si>
    <t xml:space="preserve">Al día</t>
  </si>
  <si>
    <t xml:space="preserve">Pago completo. Acceso verificado.</t>
  </si>
  <si>
    <t xml:space="preserve">A002</t>
  </si>
  <si>
    <t xml:space="preserve">Camila Torres</t>
  </si>
  <si>
    <t xml:space="preserve">Perú</t>
  </si>
  <si>
    <t xml:space="preserve">Micropunción Básico</t>
  </si>
  <si>
    <t xml:space="preserve">10/05/2026</t>
  </si>
  <si>
    <t xml:space="preserve">Mora</t>
  </si>
  <si>
    <t xml:space="preserve">2 cuotas pendientes. No ha respondido mensajes.</t>
  </si>
  <si>
    <t xml:space="preserve">A003</t>
  </si>
  <si>
    <t xml:space="preserve">Sofía Mendez</t>
  </si>
  <si>
    <t xml:space="preserve">Venezuela</t>
  </si>
  <si>
    <t xml:space="preserve">Lifting Facial</t>
  </si>
  <si>
    <t xml:space="preserve">01/06/2026</t>
  </si>
  <si>
    <t xml:space="preserve">Cambio solicitado</t>
  </si>
  <si>
    <t xml:space="preserve">Quiere cambiar de transferencia a tarjeta.</t>
  </si>
  <si>
    <t xml:space="preserve">A004</t>
  </si>
  <si>
    <t xml:space="preserve">Daniela Vargas</t>
  </si>
  <si>
    <t xml:space="preserve">Bolivia</t>
  </si>
  <si>
    <t xml:space="preserve">15/05/2026</t>
  </si>
  <si>
    <t xml:space="preserve">No responde WhatsApp. 3 mensajes enviados.</t>
  </si>
  <si>
    <t xml:space="preserve">A005</t>
  </si>
  <si>
    <t xml:space="preserve">Andrea Salcedo</t>
  </si>
  <si>
    <t xml:space="preserve">20/06/2026</t>
  </si>
  <si>
    <t xml:space="preserve">Pago reciente. Primera semana de acceso.</t>
  </si>
  <si>
    <t xml:space="preserve">A006</t>
  </si>
  <si>
    <t xml:space="preserve">Mariana Fuentes</t>
  </si>
  <si>
    <t xml:space="preserve">28/05/2026</t>
  </si>
  <si>
    <t xml:space="preserve">Solicita pago en cuotas. Pendiente confirmar.</t>
  </si>
  <si>
    <t xml:space="preserve">A007</t>
  </si>
  <si>
    <t xml:space="preserve">Luciana Paredes</t>
  </si>
  <si>
    <t xml:space="preserve">03/06/2026</t>
  </si>
  <si>
    <t xml:space="preserve">Pago completo. Accedió a plataforma.</t>
  </si>
  <si>
    <t xml:space="preserve">A008</t>
  </si>
  <si>
    <t xml:space="preserve">Gabriela Rojas</t>
  </si>
  <si>
    <t xml:space="preserve">18/05/2026</t>
  </si>
  <si>
    <t xml:space="preserve">Cuota vencida hace 5 semanas. Sin contacto.</t>
  </si>
  <si>
    <t xml:space="preserve">A009</t>
  </si>
  <si>
    <t xml:space="preserve">Patricia Estrada</t>
  </si>
  <si>
    <t xml:space="preserve">12/06/2026</t>
  </si>
  <si>
    <t xml:space="preserve">Al corriente. Solicita certificado al terminar.</t>
  </si>
  <si>
    <t xml:space="preserve">A010</t>
  </si>
  <si>
    <t xml:space="preserve">Claudia Mendoza</t>
  </si>
  <si>
    <t xml:space="preserve">25/05/2026</t>
  </si>
  <si>
    <t xml:space="preserve">Quiere cancelar débito automático.</t>
  </si>
  <si>
    <t xml:space="preserve">A011</t>
  </si>
  <si>
    <t xml:space="preserve">Renata Castillo</t>
  </si>
  <si>
    <t xml:space="preserve">08/06/2026</t>
  </si>
  <si>
    <t xml:space="preserve">Pago verificado. Activa en grupo.</t>
  </si>
  <si>
    <t xml:space="preserve">A012</t>
  </si>
  <si>
    <t xml:space="preserve">Isabel Vásquez</t>
  </si>
  <si>
    <t xml:space="preserve">30/04/2026</t>
  </si>
  <si>
    <t xml:space="preserve">Mora de 2 meses. Última respuesta 15/05.</t>
  </si>
  <si>
    <t xml:space="preserve">TOTALES</t>
  </si>
  <si>
    <t xml:space="preserve">Resumen de Estado de Pagos — Alumnas EEA</t>
  </si>
  <si>
    <t xml:space="preserve">Estado</t>
  </si>
  <si>
    <t xml:space="preserve">Cant. Alumnas</t>
  </si>
  <si>
    <t xml:space="preserve">Monto Total (USD)</t>
  </si>
  <si>
    <t xml:space="preserve">% del Total</t>
  </si>
  <si>
    <t xml:space="preserve">TOTAL</t>
  </si>
  <si>
    <t xml:space="preserve">Monto total en mora: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</si>
</sst>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A5F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B91C1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21B3A"/>
        <bgColor rgb="FF333333"/>
      </patternFill>
    </fill>
    <fill>
      <patternFill patternType="solid">
        <fgColor rgb="FFF0F0F4"/>
        <bgColor rgb="FFE8ECFF"/>
      </patternFill>
    </fill>
    <fill>
      <patternFill patternType="solid">
        <fgColor rgb="FFFFFFFF"/>
        <bgColor rgb="FFF7F7F9"/>
      </patternFill>
    </fill>
    <fill>
      <patternFill patternType="solid">
        <fgColor rgb="FFDCFCE7"/>
        <bgColor rgb="FFF0F0F4"/>
      </patternFill>
    </fill>
    <fill>
      <patternFill patternType="solid">
        <fgColor rgb="FFF7F7F9"/>
        <bgColor rgb="FFF0F0F4"/>
      </patternFill>
    </fill>
    <fill>
      <patternFill patternType="solid">
        <fgColor rgb="FFFEE2E2"/>
        <bgColor rgb="FFF0F0F4"/>
      </patternFill>
    </fill>
    <fill>
      <patternFill patternType="solid">
        <fgColor rgb="FFFEF3C7"/>
        <bgColor rgb="FFFEE2E2"/>
      </patternFill>
    </fill>
    <fill>
      <patternFill patternType="solid">
        <fgColor rgb="FFE8ECFF"/>
        <bgColor rgb="FFF0F0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F"/>
      <rgbColor rgb="FFF0F0F4"/>
      <rgbColor rgb="FFF7F7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A5F73"/>
      <rgbColor rgb="FF969696"/>
      <rgbColor rgb="FF121B3A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s">
        <v>14</v>
      </c>
      <c r="F5" s="5" t="n">
        <v>180</v>
      </c>
      <c r="G5" s="6" t="s">
        <v>15</v>
      </c>
      <c r="H5" s="7" t="s">
        <v>16</v>
      </c>
    </row>
    <row r="6" customFormat="false" ht="23.85" hidden="false" customHeight="false" outlineLevel="0" collapsed="false">
      <c r="A6" s="8" t="s">
        <v>17</v>
      </c>
      <c r="B6" s="8" t="s">
        <v>18</v>
      </c>
      <c r="C6" s="8" t="s">
        <v>19</v>
      </c>
      <c r="D6" s="8" t="s">
        <v>20</v>
      </c>
      <c r="E6" s="5" t="s">
        <v>21</v>
      </c>
      <c r="F6" s="5" t="n">
        <v>90</v>
      </c>
      <c r="G6" s="9" t="s">
        <v>22</v>
      </c>
      <c r="H6" s="10" t="s">
        <v>23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4" t="s">
        <v>27</v>
      </c>
      <c r="E7" s="5" t="s">
        <v>28</v>
      </c>
      <c r="F7" s="5" t="n">
        <v>150</v>
      </c>
      <c r="G7" s="11" t="s">
        <v>29</v>
      </c>
      <c r="H7" s="7" t="s">
        <v>30</v>
      </c>
    </row>
    <row r="8" customFormat="false" ht="15" hidden="false" customHeight="false" outlineLevel="0" collapsed="false">
      <c r="A8" s="8" t="s">
        <v>31</v>
      </c>
      <c r="B8" s="8" t="s">
        <v>32</v>
      </c>
      <c r="C8" s="8" t="s">
        <v>33</v>
      </c>
      <c r="D8" s="8" t="s">
        <v>13</v>
      </c>
      <c r="E8" s="5" t="s">
        <v>34</v>
      </c>
      <c r="F8" s="5" t="n">
        <v>180</v>
      </c>
      <c r="G8" s="9" t="s">
        <v>22</v>
      </c>
      <c r="H8" s="10" t="s">
        <v>35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19</v>
      </c>
      <c r="D9" s="4" t="s">
        <v>20</v>
      </c>
      <c r="E9" s="5" t="s">
        <v>38</v>
      </c>
      <c r="F9" s="5" t="n">
        <v>90</v>
      </c>
      <c r="G9" s="6" t="s">
        <v>15</v>
      </c>
      <c r="H9" s="7" t="s">
        <v>39</v>
      </c>
    </row>
    <row r="10" customFormat="false" ht="15" hidden="false" customHeight="false" outlineLevel="0" collapsed="false">
      <c r="A10" s="8" t="s">
        <v>40</v>
      </c>
      <c r="B10" s="8" t="s">
        <v>41</v>
      </c>
      <c r="C10" s="8" t="s">
        <v>12</v>
      </c>
      <c r="D10" s="8" t="s">
        <v>27</v>
      </c>
      <c r="E10" s="5" t="s">
        <v>42</v>
      </c>
      <c r="F10" s="5" t="n">
        <v>150</v>
      </c>
      <c r="G10" s="11" t="s">
        <v>29</v>
      </c>
      <c r="H10" s="10" t="s">
        <v>43</v>
      </c>
    </row>
    <row r="11" customFormat="false" ht="15" hidden="false" customHeight="false" outlineLevel="0" collapsed="false">
      <c r="A11" s="4" t="s">
        <v>44</v>
      </c>
      <c r="B11" s="4" t="s">
        <v>45</v>
      </c>
      <c r="C11" s="4" t="s">
        <v>19</v>
      </c>
      <c r="D11" s="4" t="s">
        <v>13</v>
      </c>
      <c r="E11" s="5" t="s">
        <v>46</v>
      </c>
      <c r="F11" s="5" t="n">
        <v>180</v>
      </c>
      <c r="G11" s="6" t="s">
        <v>15</v>
      </c>
      <c r="H11" s="7" t="s">
        <v>47</v>
      </c>
    </row>
    <row r="12" customFormat="false" ht="15" hidden="false" customHeight="false" outlineLevel="0" collapsed="false">
      <c r="A12" s="8" t="s">
        <v>48</v>
      </c>
      <c r="B12" s="8" t="s">
        <v>49</v>
      </c>
      <c r="C12" s="8" t="s">
        <v>33</v>
      </c>
      <c r="D12" s="8" t="s">
        <v>20</v>
      </c>
      <c r="E12" s="5" t="s">
        <v>50</v>
      </c>
      <c r="F12" s="5" t="n">
        <v>90</v>
      </c>
      <c r="G12" s="9" t="s">
        <v>22</v>
      </c>
      <c r="H12" s="10" t="s">
        <v>51</v>
      </c>
    </row>
    <row r="13" customFormat="false" ht="15" hidden="false" customHeight="false" outlineLevel="0" collapsed="false">
      <c r="A13" s="4" t="s">
        <v>52</v>
      </c>
      <c r="B13" s="4" t="s">
        <v>53</v>
      </c>
      <c r="C13" s="4" t="s">
        <v>26</v>
      </c>
      <c r="D13" s="4" t="s">
        <v>27</v>
      </c>
      <c r="E13" s="5" t="s">
        <v>54</v>
      </c>
      <c r="F13" s="5" t="n">
        <v>150</v>
      </c>
      <c r="G13" s="6" t="s">
        <v>15</v>
      </c>
      <c r="H13" s="7" t="s">
        <v>55</v>
      </c>
    </row>
    <row r="14" customFormat="false" ht="15" hidden="false" customHeight="false" outlineLevel="0" collapsed="false">
      <c r="A14" s="8" t="s">
        <v>56</v>
      </c>
      <c r="B14" s="8" t="s">
        <v>57</v>
      </c>
      <c r="C14" s="8" t="s">
        <v>12</v>
      </c>
      <c r="D14" s="8" t="s">
        <v>13</v>
      </c>
      <c r="E14" s="5" t="s">
        <v>58</v>
      </c>
      <c r="F14" s="5" t="n">
        <v>180</v>
      </c>
      <c r="G14" s="11" t="s">
        <v>29</v>
      </c>
      <c r="H14" s="10" t="s">
        <v>59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19</v>
      </c>
      <c r="D15" s="4" t="s">
        <v>20</v>
      </c>
      <c r="E15" s="5" t="s">
        <v>62</v>
      </c>
      <c r="F15" s="5" t="n">
        <v>90</v>
      </c>
      <c r="G15" s="6" t="s">
        <v>15</v>
      </c>
      <c r="H15" s="7" t="s">
        <v>63</v>
      </c>
    </row>
    <row r="16" customFormat="false" ht="19.5" hidden="false" customHeight="true" outlineLevel="0" collapsed="false">
      <c r="A16" s="8" t="s">
        <v>64</v>
      </c>
      <c r="B16" s="8" t="s">
        <v>65</v>
      </c>
      <c r="C16" s="8" t="s">
        <v>33</v>
      </c>
      <c r="D16" s="8" t="s">
        <v>27</v>
      </c>
      <c r="E16" s="5" t="s">
        <v>66</v>
      </c>
      <c r="F16" s="5" t="n">
        <v>150</v>
      </c>
      <c r="G16" s="9" t="s">
        <v>22</v>
      </c>
      <c r="H16" s="10" t="s">
        <v>67</v>
      </c>
    </row>
    <row r="17" customFormat="false" ht="15" hidden="false" customHeight="false" outlineLevel="0" collapsed="false">
      <c r="A17" s="12" t="s">
        <v>68</v>
      </c>
      <c r="B17" s="13"/>
      <c r="C17" s="13"/>
      <c r="D17" s="13"/>
      <c r="E17" s="13"/>
      <c r="F17" s="14" t="n">
        <f aca="false">SUM(F5:F16)</f>
        <v>1680</v>
      </c>
      <c r="G17" s="13"/>
      <c r="H17" s="1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5" t="s">
        <v>69</v>
      </c>
      <c r="B1" s="15"/>
      <c r="C1" s="15"/>
      <c r="D1" s="15"/>
    </row>
    <row r="3" customFormat="false" ht="15" hidden="false" customHeight="false" outlineLevel="0" collapsed="false">
      <c r="A3" s="16" t="s">
        <v>70</v>
      </c>
      <c r="B3" s="16" t="s">
        <v>71</v>
      </c>
      <c r="C3" s="16" t="s">
        <v>72</v>
      </c>
      <c r="D3" s="16" t="s">
        <v>73</v>
      </c>
    </row>
    <row r="4" customFormat="false" ht="15" hidden="false" customHeight="false" outlineLevel="0" collapsed="false">
      <c r="A4" s="17" t="s">
        <v>15</v>
      </c>
      <c r="B4" s="17" t="n">
        <f aca="false">COUNTIF('Base de Alumnas'!G5:G16,"Al día")</f>
        <v>5</v>
      </c>
      <c r="C4" s="17" t="n">
        <f aca="false">SUMIF('Base de Alumnas'!G5:G16,"Al día",'Base de Alumnas'!F5:F16)</f>
        <v>690</v>
      </c>
      <c r="D4" s="18" t="n">
        <f aca="false">B4/SUM(B4:B6)</f>
        <v>0.416666666666667</v>
      </c>
    </row>
    <row r="5" customFormat="false" ht="15" hidden="false" customHeight="false" outlineLevel="0" collapsed="false">
      <c r="A5" s="19" t="s">
        <v>22</v>
      </c>
      <c r="B5" s="19" t="n">
        <f aca="false">COUNTIF('Base de Alumnas'!G5:G16,"Mora")</f>
        <v>4</v>
      </c>
      <c r="C5" s="19" t="n">
        <f aca="false">SUMIF('Base de Alumnas'!G5:G16,"Mora",'Base de Alumnas'!F5:F16)</f>
        <v>510</v>
      </c>
      <c r="D5" s="20" t="n">
        <f aca="false">B5/SUM(B4:B6)</f>
        <v>0.333333333333333</v>
      </c>
    </row>
    <row r="6" customFormat="false" ht="15" hidden="false" customHeight="false" outlineLevel="0" collapsed="false">
      <c r="A6" s="21" t="s">
        <v>29</v>
      </c>
      <c r="B6" s="21" t="n">
        <f aca="false">COUNTIF('Base de Alumnas'!G5:G16,"Cambio solicitado")</f>
        <v>3</v>
      </c>
      <c r="C6" s="21" t="n">
        <f aca="false">SUMIF('Base de Alumnas'!G5:G16,"Cambio solicitado",'Base de Alumnas'!F5:F16)</f>
        <v>480</v>
      </c>
      <c r="D6" s="22" t="n">
        <f aca="false">B6/SUM(B4:B6)</f>
        <v>0.25</v>
      </c>
    </row>
    <row r="7" customFormat="false" ht="15" hidden="false" customHeight="false" outlineLevel="0" collapsed="false">
      <c r="A7" s="23" t="s">
        <v>74</v>
      </c>
      <c r="B7" s="23" t="n">
        <f aca="false">SUM(B4:B6)</f>
        <v>12</v>
      </c>
      <c r="C7" s="23" t="n">
        <f aca="false">SUM(C4:C6)</f>
        <v>1680</v>
      </c>
      <c r="D7" s="23"/>
    </row>
    <row r="10" customFormat="false" ht="15" hidden="false" customHeight="false" outlineLevel="0" collapsed="false">
      <c r="A10" s="24" t="s">
        <v>75</v>
      </c>
      <c r="B10" s="25" t="n">
        <f aca="false">SUMIF('Base de Alumnas'!G5:G16,"Mora",'Base de Alumnas'!F5:F16)</f>
        <v>510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2026-06-25T06:42:08Z</dcterms:created>
  <dc:creator>openpyxl</dc:creator>
  <dc:description/>
  <dc:language>en-US</dc:language>
  <cp:lastModifiedBy/>
  <dcterms:modified xsi:type="dcterms:W3CDTF">2026-06-25T06:42:08Z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